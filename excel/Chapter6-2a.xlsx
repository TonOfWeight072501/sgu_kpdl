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8127A8DC-5BC0-4921-85DF-8A7EFA960E0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92" i="3"/>
  <c r="I92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J92" i="3"/>
  <c r="K92" i="3" s="1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<sst xmlns="http://schemas.openxmlformats.org/spreadsheetml/2006/main" count="21" uniqueCount="21">
  <si>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</si>
  <si>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</si>
  <si>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</si>
  <si>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</si>
  <si>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</si>
  <si>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</si>
  <si>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</si>
  <si>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</si>
  <si>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</si>
  <si>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</si>
  <si>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Outcome</t>
  </si>
  <si>
    <t>PatientID</t>
  </si>
  <si>
    <t>Gene1</t>
  </si>
  <si>
    <t>Gene2</t>
  </si>
  <si>
    <t>Gene3</t>
  </si>
  <si>
    <t>Gene4</t>
  </si>
  <si>
    <t>Gene5</t>
  </si>
  <si>
    <t>Likelihood</t>
  </si>
  <si>
    <t>Log loss</t>
  </si>
  <si>
    <t>total Diff =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</si>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</sst>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workbookViewId="0">
      <selection activeCell="M1" sqref="M1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28.721089329099748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19</v>
      </c>
      <c r="K2">
        <f>SUM(K6:K92)</f>
        <v>12</v>
      </c>
    </row>
    <row r="3" spans="1:13" x14ac:dyDescent="0.3">
      <c r="B3">
        <f>INDEX(LINEST($G$6:$G$92,$B$6:$F$92),1,B$1)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-2.0319931122800335E-2</v>
      </c>
      <c r="C4">
        <v>-7.9392724446615513E-3</v>
      </c>
      <c r="D4">
        <v>-9.7139781068883366E-2</v>
      </c>
      <c r="E4">
        <v>-1.0731702805100512E-2</v>
      </c>
      <c r="F4">
        <v>-3.7996053139464736E-3</v>
      </c>
      <c r="G4">
        <v>4.2230738197141449</v>
      </c>
    </row>
    <row r="5" spans="1:13" x14ac:dyDescent="0.3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0</v>
      </c>
      <c r="H5" t="s">
        <v>8</v>
      </c>
      <c r="I5" t="s">
        <v>7</v>
      </c>
      <c r="J5" t="s">
        <v>10</v>
      </c>
      <c r="K5" t="s">
        <v>9</v>
      </c>
      <c r="L5" t="s">
        <v>17</v>
      </c>
      <c r="M5" t="s">
        <v>18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-35.675131099594537</v>
      </c>
      <c r="I6">
        <f>1/(1+EXP(0-H6))</f>
        <v>3.2098698408890605E-16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1000000, -LN(L6))</f>
        <v>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-2.126011623348635</v>
      </c>
      <c r="I7">
        <f t="shared" ref="I7:I70" si="2">1/(1+EXP(0-H7))</f>
        <v>0.10659421679464254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0.89340578320535746</v>
      </c>
      <c r="M7">
        <f t="shared" ref="M7:M70" si="6">IF(L7=0, 1000000, -LN(L7))</f>
        <v>0.1127143968308084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-0.64297885683088829</v>
      </c>
      <c r="I8">
        <f t="shared" si="2"/>
        <v>0.34457347550901107</v>
      </c>
      <c r="J8">
        <f t="shared" si="3"/>
        <v>0</v>
      </c>
      <c r="K8">
        <f t="shared" si="4"/>
        <v>1</v>
      </c>
      <c r="L8">
        <f t="shared" si="5"/>
        <v>0.34457347550901107</v>
      </c>
      <c r="M8">
        <f t="shared" si="6"/>
        <v>1.0654479296760633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2.049349017721207</v>
      </c>
      <c r="I9">
        <f t="shared" si="2"/>
        <v>0.88588182405499916</v>
      </c>
      <c r="J9">
        <f t="shared" si="3"/>
        <v>1</v>
      </c>
      <c r="K9">
        <f t="shared" si="4"/>
        <v>0</v>
      </c>
      <c r="L9">
        <f t="shared" si="5"/>
        <v>0.88588182405499916</v>
      </c>
      <c r="M9">
        <f t="shared" si="6"/>
        <v>0.12117171870091599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-4.9878991779747786</v>
      </c>
      <c r="I10">
        <f t="shared" si="2"/>
        <v>6.7737799870669149E-3</v>
      </c>
      <c r="J10">
        <f t="shared" si="3"/>
        <v>0</v>
      </c>
      <c r="K10">
        <f t="shared" si="4"/>
        <v>0</v>
      </c>
      <c r="L10">
        <f t="shared" si="5"/>
        <v>0.99322622001293304</v>
      </c>
      <c r="M10">
        <f t="shared" si="6"/>
        <v>6.7968261668517249E-3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-6.9289378393469327</v>
      </c>
      <c r="I11">
        <f t="shared" si="2"/>
        <v>9.7808263208519074E-4</v>
      </c>
      <c r="J11">
        <f t="shared" si="3"/>
        <v>0</v>
      </c>
      <c r="K11">
        <f t="shared" si="4"/>
        <v>0</v>
      </c>
      <c r="L11">
        <f t="shared" si="5"/>
        <v>0.99902191736791479</v>
      </c>
      <c r="M11">
        <f t="shared" si="6"/>
        <v>9.7856126702460097E-4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0.3927930907981434</v>
      </c>
      <c r="I12">
        <f t="shared" si="2"/>
        <v>0.59695489783529965</v>
      </c>
      <c r="J12">
        <f t="shared" si="3"/>
        <v>1</v>
      </c>
      <c r="K12">
        <f t="shared" si="4"/>
        <v>1</v>
      </c>
      <c r="L12">
        <f t="shared" si="5"/>
        <v>0.40304510216470035</v>
      </c>
      <c r="M12">
        <f t="shared" si="6"/>
        <v>0.90870680725614694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0.27973098775308447</v>
      </c>
      <c r="I13">
        <f t="shared" si="2"/>
        <v>0.56948027076941254</v>
      </c>
      <c r="J13">
        <f t="shared" si="3"/>
        <v>1</v>
      </c>
      <c r="K13">
        <f t="shared" si="4"/>
        <v>0</v>
      </c>
      <c r="L13">
        <f t="shared" si="5"/>
        <v>0.56948027076941254</v>
      </c>
      <c r="M13">
        <f t="shared" si="6"/>
        <v>0.56303113976888786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-2.4429575371763281</v>
      </c>
      <c r="I14">
        <f t="shared" si="2"/>
        <v>7.9955078586724584E-2</v>
      </c>
      <c r="J14">
        <f t="shared" si="3"/>
        <v>0</v>
      </c>
      <c r="K14">
        <f t="shared" si="4"/>
        <v>0</v>
      </c>
      <c r="L14">
        <f t="shared" si="5"/>
        <v>0.92004492141327543</v>
      </c>
      <c r="M14">
        <f t="shared" si="6"/>
        <v>8.3332782507955186E-2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-30.484662154110119</v>
      </c>
      <c r="I15">
        <f t="shared" si="2"/>
        <v>5.763409045469098E-14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-4.5702027207170595</v>
      </c>
      <c r="I16">
        <f t="shared" si="2"/>
        <v>1.0249715536660925E-2</v>
      </c>
      <c r="J16">
        <f t="shared" si="3"/>
        <v>0</v>
      </c>
      <c r="K16">
        <f t="shared" si="4"/>
        <v>0</v>
      </c>
      <c r="L16">
        <f t="shared" si="5"/>
        <v>0.98975028446333913</v>
      </c>
      <c r="M16">
        <f t="shared" si="6"/>
        <v>1.0302605586654067E-2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0.51143718002604244</v>
      </c>
      <c r="I17">
        <f t="shared" si="2"/>
        <v>0.62514332253775828</v>
      </c>
      <c r="J17">
        <f t="shared" si="3"/>
        <v>1</v>
      </c>
      <c r="K17">
        <f t="shared" si="4"/>
        <v>0</v>
      </c>
      <c r="L17">
        <f t="shared" si="5"/>
        <v>0.62514332253775828</v>
      </c>
      <c r="M17">
        <f t="shared" si="6"/>
        <v>0.4697743394742312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1.4236457385606105</v>
      </c>
      <c r="I18">
        <f t="shared" si="2"/>
        <v>0.80590931704719782</v>
      </c>
      <c r="J18">
        <f t="shared" si="3"/>
        <v>1</v>
      </c>
      <c r="K18">
        <f t="shared" si="4"/>
        <v>0</v>
      </c>
      <c r="L18">
        <f t="shared" si="5"/>
        <v>0.80590931704719782</v>
      </c>
      <c r="M18">
        <f t="shared" si="6"/>
        <v>0.21578405267221884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-2.3989190863922145</v>
      </c>
      <c r="I19">
        <f t="shared" si="2"/>
        <v>8.3255158705734786E-2</v>
      </c>
      <c r="J19">
        <f t="shared" si="3"/>
        <v>0</v>
      </c>
      <c r="K19">
        <f t="shared" si="4"/>
        <v>0</v>
      </c>
      <c r="L19">
        <f t="shared" si="5"/>
        <v>0.91674484129426526</v>
      </c>
      <c r="M19">
        <f t="shared" si="6"/>
        <v>8.6926099213956914E-2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-36.617088814777858</v>
      </c>
      <c r="I20">
        <f t="shared" si="2"/>
        <v>1.2514121993883587E-16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-13.874811597267687</v>
      </c>
      <c r="I21">
        <f t="shared" si="2"/>
        <v>9.4242213191963351E-7</v>
      </c>
      <c r="J21">
        <f t="shared" si="3"/>
        <v>0</v>
      </c>
      <c r="K21">
        <f t="shared" si="4"/>
        <v>0</v>
      </c>
      <c r="L21">
        <f t="shared" si="5"/>
        <v>0.99999905757786811</v>
      </c>
      <c r="M21">
        <f t="shared" si="6"/>
        <v>9.4242257596879236E-7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-6.0288849825164466</v>
      </c>
      <c r="I22">
        <f t="shared" si="2"/>
        <v>2.4023922550334745E-3</v>
      </c>
      <c r="J22">
        <f t="shared" si="3"/>
        <v>0</v>
      </c>
      <c r="K22">
        <f t="shared" si="4"/>
        <v>0</v>
      </c>
      <c r="L22">
        <f t="shared" si="5"/>
        <v>0.99759760774496653</v>
      </c>
      <c r="M22">
        <f t="shared" si="6"/>
        <v>2.4052826294436776E-3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-8.1943167731463991</v>
      </c>
      <c r="I23">
        <f t="shared" si="2"/>
        <v>2.7614265662837336E-4</v>
      </c>
      <c r="J23">
        <f t="shared" si="3"/>
        <v>0</v>
      </c>
      <c r="K23">
        <f t="shared" si="4"/>
        <v>0</v>
      </c>
      <c r="L23">
        <f t="shared" si="5"/>
        <v>0.99972385734337166</v>
      </c>
      <c r="M23">
        <f t="shared" si="6"/>
        <v>2.7618079103226557E-4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1.5182201391618171</v>
      </c>
      <c r="I24">
        <f t="shared" si="2"/>
        <v>0.82027623749408052</v>
      </c>
      <c r="J24">
        <f t="shared" si="3"/>
        <v>1</v>
      </c>
      <c r="K24">
        <f t="shared" si="4"/>
        <v>0</v>
      </c>
      <c r="L24">
        <f t="shared" si="5"/>
        <v>0.82027623749408052</v>
      </c>
      <c r="M24">
        <f t="shared" si="6"/>
        <v>0.19811412046069735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-4.4380977501148191</v>
      </c>
      <c r="I25">
        <f t="shared" si="2"/>
        <v>1.1680355598708206E-2</v>
      </c>
      <c r="J25">
        <f t="shared" si="3"/>
        <v>0</v>
      </c>
      <c r="K25">
        <f t="shared" si="4"/>
        <v>0</v>
      </c>
      <c r="L25">
        <f t="shared" si="5"/>
        <v>0.98831964440129183</v>
      </c>
      <c r="M25">
        <f t="shared" si="6"/>
        <v>1.1749106835798794E-2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-2.5297964647699569</v>
      </c>
      <c r="I26">
        <f t="shared" si="2"/>
        <v>7.3795556982445415E-2</v>
      </c>
      <c r="J26">
        <f t="shared" si="3"/>
        <v>0</v>
      </c>
      <c r="K26">
        <f t="shared" si="4"/>
        <v>0</v>
      </c>
      <c r="L26">
        <f t="shared" si="5"/>
        <v>0.92620444301755456</v>
      </c>
      <c r="M26">
        <f t="shared" si="6"/>
        <v>7.6660287907955857E-2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-4.174461657625173</v>
      </c>
      <c r="I27">
        <f t="shared" si="2"/>
        <v>1.515040518181044E-2</v>
      </c>
      <c r="J27">
        <f t="shared" si="3"/>
        <v>0</v>
      </c>
      <c r="K27">
        <f t="shared" si="4"/>
        <v>0</v>
      </c>
      <c r="L27">
        <f t="shared" si="5"/>
        <v>0.98484959481818957</v>
      </c>
      <c r="M27">
        <f t="shared" si="6"/>
        <v>1.5266345085261836E-2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0.56667649820270949</v>
      </c>
      <c r="I28">
        <f t="shared" si="2"/>
        <v>0.63799594132731574</v>
      </c>
      <c r="J28">
        <f t="shared" si="3"/>
        <v>1</v>
      </c>
      <c r="K28">
        <f t="shared" si="4"/>
        <v>1</v>
      </c>
      <c r="L28">
        <f t="shared" si="5"/>
        <v>0.36200405867268426</v>
      </c>
      <c r="M28">
        <f t="shared" si="6"/>
        <v>1.0160998554162226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-3.5749127022808196</v>
      </c>
      <c r="I29">
        <f t="shared" si="2"/>
        <v>2.7254265065576471E-2</v>
      </c>
      <c r="J29">
        <f t="shared" si="3"/>
        <v>0</v>
      </c>
      <c r="K29">
        <f t="shared" si="4"/>
        <v>0</v>
      </c>
      <c r="L29">
        <f t="shared" si="5"/>
        <v>0.97274573493442351</v>
      </c>
      <c r="M29">
        <f t="shared" si="6"/>
        <v>2.7632551671497949E-2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-5.8121445855821765</v>
      </c>
      <c r="I30">
        <f t="shared" si="2"/>
        <v>2.9820892600794353E-3</v>
      </c>
      <c r="J30">
        <f t="shared" si="3"/>
        <v>0</v>
      </c>
      <c r="K30">
        <f t="shared" si="4"/>
        <v>0</v>
      </c>
      <c r="L30">
        <f t="shared" si="5"/>
        <v>0.99701791073992052</v>
      </c>
      <c r="M30">
        <f t="shared" si="6"/>
        <v>2.9865445478388366E-3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-2.0591594196339553</v>
      </c>
      <c r="I31">
        <f t="shared" si="2"/>
        <v>0.11313013951648719</v>
      </c>
      <c r="J31">
        <f t="shared" si="3"/>
        <v>0</v>
      </c>
      <c r="K31">
        <f t="shared" si="4"/>
        <v>0</v>
      </c>
      <c r="L31">
        <f t="shared" si="5"/>
        <v>0.8868698604835128</v>
      </c>
      <c r="M31">
        <f t="shared" si="6"/>
        <v>0.1200570261701603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-17.184524741203074</v>
      </c>
      <c r="I32">
        <f t="shared" si="2"/>
        <v>3.4423554755410089E-8</v>
      </c>
      <c r="J32">
        <f t="shared" si="3"/>
        <v>0</v>
      </c>
      <c r="K32">
        <f t="shared" si="4"/>
        <v>0</v>
      </c>
      <c r="L32">
        <f t="shared" si="5"/>
        <v>0.99999996557644522</v>
      </c>
      <c r="M32">
        <f t="shared" si="6"/>
        <v>3.4423555376936826E-8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0.53576833928719436</v>
      </c>
      <c r="I33">
        <f t="shared" si="2"/>
        <v>0.63082747768851788</v>
      </c>
      <c r="J33">
        <f t="shared" si="3"/>
        <v>1</v>
      </c>
      <c r="K33">
        <f t="shared" si="4"/>
        <v>0</v>
      </c>
      <c r="L33">
        <f t="shared" si="5"/>
        <v>0.63082747768851788</v>
      </c>
      <c r="M33">
        <f t="shared" si="6"/>
        <v>0.46072286477773328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-2.3400443382573624</v>
      </c>
      <c r="I34">
        <f t="shared" si="2"/>
        <v>8.7860361455706415E-2</v>
      </c>
      <c r="J34">
        <f t="shared" si="3"/>
        <v>0</v>
      </c>
      <c r="K34">
        <f t="shared" si="4"/>
        <v>1</v>
      </c>
      <c r="L34">
        <f t="shared" si="5"/>
        <v>8.7860361455706415E-2</v>
      </c>
      <c r="M34">
        <f t="shared" si="6"/>
        <v>2.432006526446763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-3.2437203821931497</v>
      </c>
      <c r="I35">
        <f t="shared" si="2"/>
        <v>3.7553193329012385E-2</v>
      </c>
      <c r="J35">
        <f t="shared" si="3"/>
        <v>0</v>
      </c>
      <c r="K35">
        <f t="shared" si="4"/>
        <v>0</v>
      </c>
      <c r="L35">
        <f t="shared" si="5"/>
        <v>0.96244680667098759</v>
      </c>
      <c r="M35">
        <f t="shared" si="6"/>
        <v>3.8276480143784687E-2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-12.399662353704429</v>
      </c>
      <c r="I36">
        <f t="shared" si="2"/>
        <v>4.1199625943904E-6</v>
      </c>
      <c r="J36">
        <f t="shared" si="3"/>
        <v>0</v>
      </c>
      <c r="K36">
        <f t="shared" si="4"/>
        <v>0</v>
      </c>
      <c r="L36">
        <f t="shared" si="5"/>
        <v>0.99999588003740558</v>
      </c>
      <c r="M36">
        <f t="shared" si="6"/>
        <v>4.1199710814869152E-6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-4.2891801663254761</v>
      </c>
      <c r="I37">
        <f t="shared" si="2"/>
        <v>1.3530578014051154E-2</v>
      </c>
      <c r="J37">
        <f t="shared" si="3"/>
        <v>0</v>
      </c>
      <c r="K37">
        <f t="shared" si="4"/>
        <v>0</v>
      </c>
      <c r="L37">
        <f t="shared" si="5"/>
        <v>0.98646942198594889</v>
      </c>
      <c r="M37">
        <f t="shared" si="6"/>
        <v>1.3622950466214196E-2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1.8225036565221959</v>
      </c>
      <c r="I38">
        <f t="shared" si="2"/>
        <v>0.86086627485174994</v>
      </c>
      <c r="J38">
        <f t="shared" si="3"/>
        <v>1</v>
      </c>
      <c r="K38">
        <f t="shared" si="4"/>
        <v>0</v>
      </c>
      <c r="L38">
        <f t="shared" si="5"/>
        <v>0.86086627485174994</v>
      </c>
      <c r="M38">
        <f t="shared" si="6"/>
        <v>0.14981610037787119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-0.97238728467170077</v>
      </c>
      <c r="I39">
        <f t="shared" si="2"/>
        <v>0.27440492155118673</v>
      </c>
      <c r="J39">
        <f t="shared" si="3"/>
        <v>0</v>
      </c>
      <c r="K39">
        <f t="shared" si="4"/>
        <v>0</v>
      </c>
      <c r="L39">
        <f t="shared" si="5"/>
        <v>0.72559507844881321</v>
      </c>
      <c r="M39">
        <f t="shared" si="6"/>
        <v>0.32076316293738116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-2.2547926939693665</v>
      </c>
      <c r="I40">
        <f t="shared" si="2"/>
        <v>9.4936857954718207E-2</v>
      </c>
      <c r="J40">
        <f t="shared" si="3"/>
        <v>0</v>
      </c>
      <c r="K40">
        <f t="shared" si="4"/>
        <v>0</v>
      </c>
      <c r="L40">
        <f t="shared" si="5"/>
        <v>0.90506314204528182</v>
      </c>
      <c r="M40">
        <f t="shared" si="6"/>
        <v>9.9750567500258208E-2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-0.65485216441260086</v>
      </c>
      <c r="I41">
        <f t="shared" si="2"/>
        <v>0.34189694768794221</v>
      </c>
      <c r="J41">
        <f t="shared" si="3"/>
        <v>0</v>
      </c>
      <c r="K41">
        <f t="shared" si="4"/>
        <v>0</v>
      </c>
      <c r="L41">
        <f t="shared" si="5"/>
        <v>0.65810305231205779</v>
      </c>
      <c r="M41">
        <f t="shared" si="6"/>
        <v>0.41839374546356856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-11.715907195919767</v>
      </c>
      <c r="I42">
        <f t="shared" si="2"/>
        <v>8.1628649089946975E-6</v>
      </c>
      <c r="J42">
        <f t="shared" si="3"/>
        <v>0</v>
      </c>
      <c r="K42">
        <f t="shared" si="4"/>
        <v>0</v>
      </c>
      <c r="L42">
        <f t="shared" si="5"/>
        <v>0.99999183713509099</v>
      </c>
      <c r="M42">
        <f t="shared" si="6"/>
        <v>8.1628982253745902E-6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-0.4725029283104103</v>
      </c>
      <c r="I43">
        <f t="shared" si="2"/>
        <v>0.38402400539107445</v>
      </c>
      <c r="J43">
        <f t="shared" si="3"/>
        <v>0</v>
      </c>
      <c r="K43">
        <f t="shared" si="4"/>
        <v>0</v>
      </c>
      <c r="L43">
        <f t="shared" si="5"/>
        <v>0.6159759946089256</v>
      </c>
      <c r="M43">
        <f t="shared" si="6"/>
        <v>0.48454728599866448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-8.3025364745784067</v>
      </c>
      <c r="I44">
        <f t="shared" si="2"/>
        <v>2.4782583639012249E-4</v>
      </c>
      <c r="J44">
        <f t="shared" si="3"/>
        <v>0</v>
      </c>
      <c r="K44">
        <f t="shared" si="4"/>
        <v>0</v>
      </c>
      <c r="L44">
        <f t="shared" si="5"/>
        <v>0.99975217416360984</v>
      </c>
      <c r="M44">
        <f t="shared" si="6"/>
        <v>2.4785655028731953E-4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-13.376774244408363</v>
      </c>
      <c r="I45">
        <f t="shared" si="2"/>
        <v>1.5507439178769184E-6</v>
      </c>
      <c r="J45">
        <f t="shared" si="3"/>
        <v>0</v>
      </c>
      <c r="K45">
        <f t="shared" si="4"/>
        <v>0</v>
      </c>
      <c r="L45">
        <f t="shared" si="5"/>
        <v>0.99999844925608217</v>
      </c>
      <c r="M45">
        <f t="shared" si="6"/>
        <v>1.5507451202376453E-6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-1.77381897644322</v>
      </c>
      <c r="I46">
        <f t="shared" si="2"/>
        <v>0.14506804454409267</v>
      </c>
      <c r="J46">
        <f t="shared" si="3"/>
        <v>0</v>
      </c>
      <c r="K46">
        <f t="shared" si="4"/>
        <v>0</v>
      </c>
      <c r="L46">
        <f t="shared" si="5"/>
        <v>0.85493195545590739</v>
      </c>
      <c r="M46">
        <f t="shared" si="6"/>
        <v>0.15673339747446888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-7.4909988276125326</v>
      </c>
      <c r="I47">
        <f t="shared" si="2"/>
        <v>5.5777396561552495E-4</v>
      </c>
      <c r="J47">
        <f t="shared" si="3"/>
        <v>0</v>
      </c>
      <c r="K47">
        <f t="shared" si="4"/>
        <v>0</v>
      </c>
      <c r="L47">
        <f t="shared" si="5"/>
        <v>0.99944222603438448</v>
      </c>
      <c r="M47">
        <f t="shared" si="6"/>
        <v>5.5792957938143679E-4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1.1524905906290535</v>
      </c>
      <c r="I48">
        <f t="shared" si="2"/>
        <v>0.75996553942541056</v>
      </c>
      <c r="J48">
        <f t="shared" si="3"/>
        <v>1</v>
      </c>
      <c r="K48">
        <f t="shared" si="4"/>
        <v>0</v>
      </c>
      <c r="L48">
        <f t="shared" si="5"/>
        <v>0.75996553942541056</v>
      </c>
      <c r="M48">
        <f t="shared" si="6"/>
        <v>0.27448218959108078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0.67208639164223438</v>
      </c>
      <c r="I49">
        <f t="shared" si="2"/>
        <v>0.6619701796599935</v>
      </c>
      <c r="J49">
        <f t="shared" si="3"/>
        <v>1</v>
      </c>
      <c r="K49">
        <f t="shared" si="4"/>
        <v>0</v>
      </c>
      <c r="L49">
        <f t="shared" si="5"/>
        <v>0.6619701796599935</v>
      </c>
      <c r="M49">
        <f t="shared" si="6"/>
        <v>0.41253476989054827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-15.555844906829378</v>
      </c>
      <c r="I50">
        <f t="shared" si="2"/>
        <v>1.7546169459298237E-7</v>
      </c>
      <c r="J50">
        <f t="shared" si="3"/>
        <v>0</v>
      </c>
      <c r="K50">
        <f t="shared" si="4"/>
        <v>0</v>
      </c>
      <c r="L50">
        <f t="shared" si="5"/>
        <v>0.99999982453830538</v>
      </c>
      <c r="M50">
        <f t="shared" si="6"/>
        <v>1.7546171001153359E-7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-7.457368805856035E-2</v>
      </c>
      <c r="I51">
        <f t="shared" si="2"/>
        <v>0.48136521322064346</v>
      </c>
      <c r="J51">
        <f t="shared" si="3"/>
        <v>0</v>
      </c>
      <c r="K51">
        <f t="shared" si="4"/>
        <v>1</v>
      </c>
      <c r="L51">
        <f t="shared" si="5"/>
        <v>0.48136521322064346</v>
      </c>
      <c r="M51">
        <f t="shared" si="6"/>
        <v>0.73112901793788687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-0.67851162708979995</v>
      </c>
      <c r="I52">
        <f t="shared" si="2"/>
        <v>0.33659357292248049</v>
      </c>
      <c r="J52">
        <f t="shared" si="3"/>
        <v>0</v>
      </c>
      <c r="K52">
        <f t="shared" si="4"/>
        <v>0</v>
      </c>
      <c r="L52">
        <f t="shared" si="5"/>
        <v>0.66340642707751951</v>
      </c>
      <c r="M52">
        <f t="shared" si="6"/>
        <v>0.41036746442820421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-9.1542518484131694</v>
      </c>
      <c r="I53">
        <f t="shared" si="2"/>
        <v>1.0575794509363134E-4</v>
      </c>
      <c r="J53">
        <f t="shared" si="3"/>
        <v>0</v>
      </c>
      <c r="K53">
        <f t="shared" si="4"/>
        <v>0</v>
      </c>
      <c r="L53">
        <f t="shared" si="5"/>
        <v>0.9998942420549064</v>
      </c>
      <c r="M53">
        <f t="shared" si="6"/>
        <v>1.057635378593969E-4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-6.4968596781722603</v>
      </c>
      <c r="I54">
        <f t="shared" si="2"/>
        <v>1.5058967516950184E-3</v>
      </c>
      <c r="J54">
        <f t="shared" si="3"/>
        <v>0</v>
      </c>
      <c r="K54">
        <f t="shared" si="4"/>
        <v>0</v>
      </c>
      <c r="L54">
        <f t="shared" si="5"/>
        <v>0.99849410324830501</v>
      </c>
      <c r="M54">
        <f t="shared" si="6"/>
        <v>1.5070317538154855E-3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-0.92767212506445951</v>
      </c>
      <c r="I55">
        <f t="shared" si="2"/>
        <v>0.28339722842341447</v>
      </c>
      <c r="J55">
        <f t="shared" si="3"/>
        <v>0</v>
      </c>
      <c r="K55">
        <f t="shared" si="4"/>
        <v>0</v>
      </c>
      <c r="L55">
        <f t="shared" si="5"/>
        <v>0.71660277157658547</v>
      </c>
      <c r="M55">
        <f t="shared" si="6"/>
        <v>0.33323360644281347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-0.56859155441378473</v>
      </c>
      <c r="I56">
        <f t="shared" si="2"/>
        <v>0.36156187979494075</v>
      </c>
      <c r="J56">
        <f t="shared" si="3"/>
        <v>0</v>
      </c>
      <c r="K56">
        <f t="shared" si="4"/>
        <v>0</v>
      </c>
      <c r="L56">
        <f t="shared" si="5"/>
        <v>0.6384381202050593</v>
      </c>
      <c r="M56">
        <f t="shared" si="6"/>
        <v>0.44873052252857776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-2.4612100040868334E-2</v>
      </c>
      <c r="I57">
        <f t="shared" si="2"/>
        <v>0.49384728557334812</v>
      </c>
      <c r="J57">
        <f t="shared" si="3"/>
        <v>0</v>
      </c>
      <c r="K57">
        <f t="shared" si="4"/>
        <v>0</v>
      </c>
      <c r="L57">
        <f t="shared" si="5"/>
        <v>0.50615271442665188</v>
      </c>
      <c r="M57">
        <f t="shared" si="6"/>
        <v>0.68091684806199682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0.5093381315752139</v>
      </c>
      <c r="I58">
        <f t="shared" si="2"/>
        <v>0.62465130424680515</v>
      </c>
      <c r="J58">
        <f t="shared" si="3"/>
        <v>1</v>
      </c>
      <c r="K58">
        <f t="shared" si="4"/>
        <v>0</v>
      </c>
      <c r="L58">
        <f t="shared" si="5"/>
        <v>0.62465130424680515</v>
      </c>
      <c r="M58">
        <f t="shared" si="6"/>
        <v>0.47056169814233045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0.28795209086302354</v>
      </c>
      <c r="I59">
        <f t="shared" si="2"/>
        <v>0.57149469711065704</v>
      </c>
      <c r="J59">
        <f t="shared" si="3"/>
        <v>1</v>
      </c>
      <c r="K59">
        <f t="shared" si="4"/>
        <v>0</v>
      </c>
      <c r="L59">
        <f t="shared" si="5"/>
        <v>0.57149469711065704</v>
      </c>
      <c r="M59">
        <f t="shared" si="6"/>
        <v>0.55950007468680907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-4.0790635001228761</v>
      </c>
      <c r="I60">
        <f t="shared" si="2"/>
        <v>1.6641674739627077E-2</v>
      </c>
      <c r="J60">
        <f t="shared" si="3"/>
        <v>0</v>
      </c>
      <c r="K60">
        <f t="shared" si="4"/>
        <v>0</v>
      </c>
      <c r="L60">
        <f t="shared" si="5"/>
        <v>0.98335832526037292</v>
      </c>
      <c r="M60">
        <f t="shared" si="6"/>
        <v>1.6781703120326754E-2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-0.27445710521966937</v>
      </c>
      <c r="I61">
        <f t="shared" si="2"/>
        <v>0.43181321112721405</v>
      </c>
      <c r="J61">
        <f t="shared" si="3"/>
        <v>0</v>
      </c>
      <c r="K61">
        <f t="shared" si="4"/>
        <v>0</v>
      </c>
      <c r="L61">
        <f t="shared" si="5"/>
        <v>0.56818678887278595</v>
      </c>
      <c r="M61">
        <f t="shared" si="6"/>
        <v>0.5653050606722243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0.72014088311369751</v>
      </c>
      <c r="I62">
        <f t="shared" si="2"/>
        <v>0.67263803973544722</v>
      </c>
      <c r="J62">
        <f t="shared" si="3"/>
        <v>1</v>
      </c>
      <c r="K62">
        <f t="shared" si="4"/>
        <v>0</v>
      </c>
      <c r="L62">
        <f t="shared" si="5"/>
        <v>0.67263803973544722</v>
      </c>
      <c r="M62">
        <f t="shared" si="6"/>
        <v>0.39654792502268899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1.2473739817506808</v>
      </c>
      <c r="I63">
        <f t="shared" si="2"/>
        <v>0.77684495384540997</v>
      </c>
      <c r="J63">
        <f t="shared" si="3"/>
        <v>1</v>
      </c>
      <c r="K63">
        <f t="shared" si="4"/>
        <v>0</v>
      </c>
      <c r="L63">
        <f t="shared" si="5"/>
        <v>0.77684495384540997</v>
      </c>
      <c r="M63">
        <f t="shared" si="6"/>
        <v>0.25251449312666424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-7.7611576633140444E-2</v>
      </c>
      <c r="I64">
        <f t="shared" si="2"/>
        <v>0.48060683951492195</v>
      </c>
      <c r="J64">
        <f t="shared" si="3"/>
        <v>0</v>
      </c>
      <c r="K64">
        <f t="shared" si="4"/>
        <v>0</v>
      </c>
      <c r="L64">
        <f t="shared" si="5"/>
        <v>0.51939316048507811</v>
      </c>
      <c r="M64">
        <f t="shared" si="6"/>
        <v>0.65509414794747056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0.39743841474304409</v>
      </c>
      <c r="I65">
        <f t="shared" si="2"/>
        <v>0.59807205644228156</v>
      </c>
      <c r="J65">
        <f t="shared" si="3"/>
        <v>1</v>
      </c>
      <c r="K65">
        <f t="shared" si="4"/>
        <v>1</v>
      </c>
      <c r="L65">
        <f t="shared" si="5"/>
        <v>0.40192794355771844</v>
      </c>
      <c r="M65">
        <f t="shared" si="6"/>
        <v>0.91148245131069705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0.52186618110307892</v>
      </c>
      <c r="I66">
        <f t="shared" si="2"/>
        <v>0.62758403822495101</v>
      </c>
      <c r="J66">
        <f t="shared" si="3"/>
        <v>1</v>
      </c>
      <c r="K66">
        <f t="shared" si="4"/>
        <v>0</v>
      </c>
      <c r="L66">
        <f t="shared" si="5"/>
        <v>0.62758403822495101</v>
      </c>
      <c r="M66">
        <f t="shared" si="6"/>
        <v>0.46587769148532238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2.3042960150224392</v>
      </c>
      <c r="I67">
        <f t="shared" si="2"/>
        <v>0.90923220867240684</v>
      </c>
      <c r="J67">
        <f t="shared" si="3"/>
        <v>1</v>
      </c>
      <c r="K67">
        <f t="shared" si="4"/>
        <v>0</v>
      </c>
      <c r="L67">
        <f t="shared" si="5"/>
        <v>0.90923220867240684</v>
      </c>
      <c r="M67">
        <f t="shared" si="6"/>
        <v>9.5154762342596746E-2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1.7330259095068823</v>
      </c>
      <c r="I68">
        <f t="shared" si="2"/>
        <v>0.84979905816224222</v>
      </c>
      <c r="J68">
        <f t="shared" si="3"/>
        <v>1</v>
      </c>
      <c r="K68">
        <f t="shared" si="4"/>
        <v>0</v>
      </c>
      <c r="L68">
        <f t="shared" si="5"/>
        <v>0.84979905816224222</v>
      </c>
      <c r="M68">
        <f t="shared" si="6"/>
        <v>0.16275535960723864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1.3482893489329433</v>
      </c>
      <c r="I69">
        <f t="shared" si="2"/>
        <v>0.79384981696517998</v>
      </c>
      <c r="J69">
        <f t="shared" si="3"/>
        <v>1</v>
      </c>
      <c r="K69">
        <f t="shared" si="4"/>
        <v>1</v>
      </c>
      <c r="L69">
        <f t="shared" si="5"/>
        <v>0.20615018303482002</v>
      </c>
      <c r="M69">
        <f t="shared" si="6"/>
        <v>1.5791503319575872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-1.6645766407491287</v>
      </c>
      <c r="I70">
        <f t="shared" si="2"/>
        <v>0.15914859360918837</v>
      </c>
      <c r="J70">
        <f t="shared" si="3"/>
        <v>0</v>
      </c>
      <c r="K70">
        <f t="shared" si="4"/>
        <v>0</v>
      </c>
      <c r="L70">
        <f t="shared" si="5"/>
        <v>0.84085140639081168</v>
      </c>
      <c r="M70">
        <f t="shared" si="6"/>
        <v>0.17334032143249503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-19.833704449135848</v>
      </c>
      <c r="I71">
        <f t="shared" ref="I71:I92" si="8">1/(1+EXP(0-H71))</f>
        <v>2.434061802018977E-9</v>
      </c>
      <c r="J71">
        <f t="shared" ref="J71:J92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0.99999999756593816</v>
      </c>
      <c r="M71">
        <f t="shared" ref="M71:M92" si="12">IF(L71=0, 1000000, -LN(L71))</f>
        <v>2.4340618439347188E-9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2.3753391855005335</v>
      </c>
      <c r="I72">
        <f t="shared" si="8"/>
        <v>0.91492735930940949</v>
      </c>
      <c r="J72">
        <f t="shared" si="9"/>
        <v>1</v>
      </c>
      <c r="K72">
        <f t="shared" si="10"/>
        <v>0</v>
      </c>
      <c r="L72">
        <f t="shared" si="11"/>
        <v>0.91492735930940949</v>
      </c>
      <c r="M72">
        <f t="shared" si="12"/>
        <v>8.891060559095379E-2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-53.328666300342633</v>
      </c>
      <c r="I73">
        <f t="shared" si="8"/>
        <v>6.9128080601180452E-24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-0.52795794761062975</v>
      </c>
      <c r="I74">
        <f t="shared" si="8"/>
        <v>0.37099329013276938</v>
      </c>
      <c r="J74">
        <f t="shared" si="9"/>
        <v>0</v>
      </c>
      <c r="K74">
        <f t="shared" si="10"/>
        <v>0</v>
      </c>
      <c r="L74">
        <f t="shared" si="11"/>
        <v>0.62900670986723062</v>
      </c>
      <c r="M74">
        <f t="shared" si="12"/>
        <v>0.4636133548231241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-6.7022662800610231</v>
      </c>
      <c r="I75">
        <f t="shared" si="8"/>
        <v>1.2266190281117388E-3</v>
      </c>
      <c r="J75">
        <f t="shared" si="9"/>
        <v>0</v>
      </c>
      <c r="K75">
        <f t="shared" si="10"/>
        <v>0</v>
      </c>
      <c r="L75">
        <f t="shared" si="11"/>
        <v>0.99877338097188828</v>
      </c>
      <c r="M75">
        <f t="shared" si="12"/>
        <v>1.2273719409862641E-3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0.16520221930432299</v>
      </c>
      <c r="I76">
        <f t="shared" si="8"/>
        <v>0.54120688002475814</v>
      </c>
      <c r="J76">
        <f t="shared" si="9"/>
        <v>1</v>
      </c>
      <c r="K76">
        <f t="shared" si="10"/>
        <v>1</v>
      </c>
      <c r="L76">
        <f t="shared" si="11"/>
        <v>0.45879311997524186</v>
      </c>
      <c r="M76">
        <f t="shared" si="12"/>
        <v>0.77915588953412285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2.2964283625644191</v>
      </c>
      <c r="I77">
        <f t="shared" si="8"/>
        <v>0.90858080522610019</v>
      </c>
      <c r="J77">
        <f t="shared" si="9"/>
        <v>1</v>
      </c>
      <c r="K77">
        <f t="shared" si="10"/>
        <v>0</v>
      </c>
      <c r="L77">
        <f t="shared" si="11"/>
        <v>0.90858080522610019</v>
      </c>
      <c r="M77">
        <f t="shared" si="12"/>
        <v>9.5871451539129737E-2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0.81527437513007328</v>
      </c>
      <c r="I78">
        <f t="shared" si="8"/>
        <v>0.69323230138503245</v>
      </c>
      <c r="J78">
        <f t="shared" si="9"/>
        <v>1</v>
      </c>
      <c r="K78">
        <f t="shared" si="10"/>
        <v>0</v>
      </c>
      <c r="L78">
        <f t="shared" si="11"/>
        <v>0.69323230138503245</v>
      </c>
      <c r="M78">
        <f t="shared" si="12"/>
        <v>0.36639012472915405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4.6323972113179401E-2</v>
      </c>
      <c r="I79">
        <f t="shared" si="8"/>
        <v>0.51157892249150461</v>
      </c>
      <c r="J79">
        <f t="shared" si="9"/>
        <v>1</v>
      </c>
      <c r="K79">
        <f t="shared" si="10"/>
        <v>0</v>
      </c>
      <c r="L79">
        <f t="shared" si="11"/>
        <v>0.51157892249150461</v>
      </c>
      <c r="M79">
        <f t="shared" si="12"/>
        <v>0.67025340932181132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-7.4530722814833723</v>
      </c>
      <c r="I80">
        <f t="shared" si="8"/>
        <v>5.793221924313475E-4</v>
      </c>
      <c r="J80">
        <f t="shared" si="9"/>
        <v>0</v>
      </c>
      <c r="K80">
        <f t="shared" si="10"/>
        <v>0</v>
      </c>
      <c r="L80">
        <f t="shared" si="11"/>
        <v>0.9994206778075686</v>
      </c>
      <c r="M80">
        <f t="shared" si="12"/>
        <v>5.7949006437047661E-4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-3.2142574033621187</v>
      </c>
      <c r="I81">
        <f t="shared" si="8"/>
        <v>3.8632702619158951E-2</v>
      </c>
      <c r="J81">
        <f t="shared" si="9"/>
        <v>0</v>
      </c>
      <c r="K81">
        <f t="shared" si="10"/>
        <v>0</v>
      </c>
      <c r="L81">
        <f t="shared" si="11"/>
        <v>0.96136729738084103</v>
      </c>
      <c r="M81">
        <f t="shared" si="12"/>
        <v>3.9398739722996047E-2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-4.3987461957336702</v>
      </c>
      <c r="I82">
        <f t="shared" si="8"/>
        <v>1.2143466427225044E-2</v>
      </c>
      <c r="J82">
        <f t="shared" si="9"/>
        <v>0</v>
      </c>
      <c r="K82">
        <f t="shared" si="10"/>
        <v>0</v>
      </c>
      <c r="L82">
        <f t="shared" si="11"/>
        <v>0.98785653357277492</v>
      </c>
      <c r="M82">
        <f t="shared" si="12"/>
        <v>1.2217800712545617E-2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-12.105381185915196</v>
      </c>
      <c r="I83">
        <f t="shared" si="8"/>
        <v>5.5296462398144833E-6</v>
      </c>
      <c r="J83">
        <f t="shared" si="9"/>
        <v>0</v>
      </c>
      <c r="K83">
        <f t="shared" si="10"/>
        <v>0</v>
      </c>
      <c r="L83">
        <f t="shared" si="11"/>
        <v>0.99999447035376021</v>
      </c>
      <c r="M83">
        <f t="shared" si="12"/>
        <v>5.5296615283381508E-6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-5.7239099714523292</v>
      </c>
      <c r="I84">
        <f t="shared" si="8"/>
        <v>3.2562744005109265E-3</v>
      </c>
      <c r="J84">
        <f t="shared" si="9"/>
        <v>0</v>
      </c>
      <c r="K84">
        <f t="shared" si="10"/>
        <v>0</v>
      </c>
      <c r="L84">
        <f t="shared" si="11"/>
        <v>0.99674372559948909</v>
      </c>
      <c r="M84">
        <f t="shared" si="12"/>
        <v>3.2615875992873691E-3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0.12192630046658692</v>
      </c>
      <c r="I85">
        <f t="shared" si="8"/>
        <v>0.53044386951979738</v>
      </c>
      <c r="J85">
        <f t="shared" si="9"/>
        <v>1</v>
      </c>
      <c r="K85">
        <f t="shared" si="10"/>
        <v>1</v>
      </c>
      <c r="L85">
        <f t="shared" si="11"/>
        <v>0.46955613048020262</v>
      </c>
      <c r="M85">
        <f t="shared" si="12"/>
        <v>0.75596743374134734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0.28097604588935265</v>
      </c>
      <c r="I86">
        <f t="shared" si="8"/>
        <v>0.56978549833159065</v>
      </c>
      <c r="J86">
        <f t="shared" si="9"/>
        <v>1</v>
      </c>
      <c r="K86">
        <f t="shared" si="10"/>
        <v>1</v>
      </c>
      <c r="L86">
        <f t="shared" si="11"/>
        <v>0.43021450166840935</v>
      </c>
      <c r="M86">
        <f t="shared" si="12"/>
        <v>0.84347135358505898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-3.9365645222467833</v>
      </c>
      <c r="I87">
        <f t="shared" si="8"/>
        <v>1.9141592626890976E-2</v>
      </c>
      <c r="J87">
        <f t="shared" si="9"/>
        <v>0</v>
      </c>
      <c r="K87">
        <f t="shared" si="10"/>
        <v>1</v>
      </c>
      <c r="L87">
        <f t="shared" si="11"/>
        <v>1.9141592626890976E-2</v>
      </c>
      <c r="M87">
        <f t="shared" si="12"/>
        <v>3.9558916870725884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-0.66329872082129704</v>
      </c>
      <c r="I88">
        <f t="shared" si="8"/>
        <v>0.33999898943529239</v>
      </c>
      <c r="J88">
        <f t="shared" si="9"/>
        <v>0</v>
      </c>
      <c r="K88">
        <f t="shared" si="10"/>
        <v>1</v>
      </c>
      <c r="L88">
        <f t="shared" si="11"/>
        <v>0.33999898943529239</v>
      </c>
      <c r="M88">
        <f t="shared" si="12"/>
        <v>1.0788126336254871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1.7267637651591241</v>
      </c>
      <c r="I89">
        <f t="shared" si="8"/>
        <v>0.84899800209267617</v>
      </c>
      <c r="J89">
        <f t="shared" si="9"/>
        <v>1</v>
      </c>
      <c r="K89">
        <f t="shared" si="10"/>
        <v>0</v>
      </c>
      <c r="L89">
        <f t="shared" si="11"/>
        <v>0.84899800209267617</v>
      </c>
      <c r="M89">
        <f t="shared" si="12"/>
        <v>0.16369844592128988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-24.788001609878613</v>
      </c>
      <c r="I90">
        <f t="shared" si="8"/>
        <v>1.7167524798816272E-11</v>
      </c>
      <c r="J90">
        <f t="shared" si="9"/>
        <v>0</v>
      </c>
      <c r="K90">
        <f t="shared" si="10"/>
        <v>0</v>
      </c>
      <c r="L90">
        <f t="shared" si="11"/>
        <v>0.99999999998283251</v>
      </c>
      <c r="M90">
        <f t="shared" si="12"/>
        <v>1.7167489652228619E-11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-3.2933474122483828</v>
      </c>
      <c r="I91">
        <f t="shared" si="8"/>
        <v>3.5800118616198695E-2</v>
      </c>
      <c r="J91">
        <f t="shared" si="9"/>
        <v>0</v>
      </c>
      <c r="K91">
        <f t="shared" si="10"/>
        <v>0</v>
      </c>
      <c r="L91">
        <f t="shared" si="11"/>
        <v>0.9641998813838013</v>
      </c>
      <c r="M91">
        <f t="shared" si="12"/>
        <v>3.6456660030949092E-2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-2.5229907131083955</v>
      </c>
      <c r="I92">
        <f t="shared" si="8"/>
        <v>7.4262079977214998E-2</v>
      </c>
      <c r="J92">
        <f t="shared" si="9"/>
        <v>0</v>
      </c>
      <c r="K92">
        <f t="shared" si="10"/>
        <v>0</v>
      </c>
      <c r="L92">
        <f t="shared" si="11"/>
        <v>0.92573792002278499</v>
      </c>
      <c r="M92">
        <f t="shared" si="12"/>
        <v>7.7164108128226633E-2</v>
      </c>
    </row>
  </sheetData>
  <sortState xmlns:xlrd2="http://schemas.microsoft.com/office/spreadsheetml/2017/richdata2" ref="J1:M2">
    <sortCondition ref="M1:M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2025-11-22T17:26:44Z</dcterms:modified>
</cp:coreProperties>
</file>