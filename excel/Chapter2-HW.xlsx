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066BDABD-C248-4809-95C1-8E6E3878B600}" xr6:coauthVersionLast="47" xr6:coauthVersionMax="47" xr10:uidLastSave="{00000000-0000-0000-0000-000000000000}"/>
  <bookViews>
    <workbookView xWindow="-108" yWindow="-108" windowWidth="23256" windowHeight="12456" xr2:uid="{00000000-000D-0000-FFFF-FFFF00000000}"/>
  </bookViews>
  <sheets>
    <sheet name="Chapter2_Assignmen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9" i="2" l="1" a="1"/>
  <c r="K29" i="2" s="1"/>
  <c r="O28" i="2" l="1"/>
  <c r="O27" i="2"/>
  <c r="O26" i="2"/>
  <c r="O25" i="2"/>
  <c r="O24" i="2"/>
  <c r="O23" i="2"/>
  <c r="O22" i="2"/>
  <c r="O21" i="2"/>
  <c r="O20" i="2"/>
  <c r="O1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<sst xmlns="http://schemas.openxmlformats.org/spreadsheetml/2006/main" count="22" uniqueCount="13">
  <si>
    <t>Year</t>
  </si>
  <si>
    <t>Num high school graduates</t>
  </si>
  <si>
    <t>USA Economics</t>
  </si>
  <si>
    <t>comparable tuition fee</t>
  </si>
  <si>
    <t xml:space="preserve">financial scholarship </t>
  </si>
  <si>
    <t>financial aid available</t>
  </si>
  <si>
    <t>number of open house visitors</t>
  </si>
  <si>
    <t>media advertisement investment</t>
  </si>
  <si>
    <t>admission activities</t>
  </si>
  <si>
    <t>SAT cutoff</t>
  </si>
  <si>
    <t>Number of First Year Enrollment</t>
  </si>
  <si>
    <t>NEW YEAR</t>
  </si>
  <si>
    <t>Y-intercept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</si>
</sst>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horizontal="righ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184150</xdr:colOff>
      <xdr:row>0</xdr:row>
      <xdr:rowOff>50800</xdr:rowOff>
    </xdr:from>
    <xdr:to>
      <xdr:col>10</xdr:col>
      <xdr:colOff>393701</xdr:colOff>
      <xdr:row>13</xdr:row>
      <xdr:rowOff>142876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57250" y="50800"/>
          <a:ext cx="9404351" cy="2486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The following is </a:t>
          </a:r>
          <a:r>
            <a:rPr lang="en-US" sz="1100" b="0" i="0" baseline="0">
              <a:solidFill>
                <a:srgbClr val="FF0000"/>
              </a:solidFill>
              <a:effectLst/>
              <a:latin typeface="+mn-lt"/>
              <a:ea typeface="+mn-ea"/>
              <a:cs typeface="+mn-cs"/>
            </a:rPr>
            <a:t>faked</a:t>
          </a:r>
          <a:r>
            <a:rPr lang="en-US" sz="1100" b="0" i="0" baseline="0">
              <a:solidFill>
                <a:schemeClr val="dk1"/>
              </a:solidFill>
              <a:effectLst/>
              <a:latin typeface="+mn-lt"/>
              <a:ea typeface="+mn-ea"/>
              <a:cs typeface="+mn-cs"/>
            </a:rPr>
            <a:t> data about a Connecticut university's ungraduate enrollment in the past 10 years.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1.understand the organization: what factors would affect the enrollment? Number of CT high school graduates, USA economics (job rate, growth rate), tuition fee comparable to universities around, scholarship available, finacial aid available, number of open house visitors,  TV or radio advertisement investment, number of admission activities in high schools, SAT cutoff, etc. There might be more factors, and some of them may not have any impact. Students are strongly encouraged to add more factors you think would matter.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2. What we want to do is to based on the existing 10 years' data and then predict next year's  First Year enrollment.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In addition, please feel free to change the values.  They are just faked data.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Note, the LINEST function returns the coefficient array in the order of SAT cutoff, </a:t>
          </a:r>
          <a:r>
            <a:rPr lang="en-US" sz="1100" b="0" i="0" u="none" strike="noStrike">
              <a:solidFill>
                <a:srgbClr val="FF0000"/>
              </a:solidFill>
              <a:effectLst/>
              <a:latin typeface="+mn-lt"/>
              <a:ea typeface="+mn-ea"/>
              <a:cs typeface="+mn-cs"/>
            </a:rPr>
            <a:t>admission activities,</a:t>
          </a:r>
          <a:r>
            <a:rPr lang="en-US" sz="1100" b="0" i="0" u="none" strike="noStrike" baseline="0">
              <a:solidFill>
                <a:srgbClr val="FF0000"/>
              </a:solidFill>
              <a:effectLst/>
              <a:latin typeface="+mn-lt"/>
              <a:ea typeface="+mn-ea"/>
              <a:cs typeface="+mn-cs"/>
            </a:rPr>
            <a:t> </a:t>
          </a:r>
          <a:r>
            <a:rPr lang="en-US" sz="1100" b="0" i="0" u="none" strike="noStrike">
              <a:solidFill>
                <a:srgbClr val="FF0000"/>
              </a:solidFill>
              <a:effectLst/>
              <a:latin typeface="+mn-lt"/>
              <a:ea typeface="+mn-ea"/>
              <a:cs typeface="+mn-cs"/>
            </a:rPr>
            <a:t>media advertisement investment,</a:t>
          </a:r>
          <a:r>
            <a:rPr lang="en-US" sz="1100" b="0" i="0" u="none" strike="noStrike" baseline="0">
              <a:solidFill>
                <a:srgbClr val="FF0000"/>
              </a:solidFill>
              <a:effectLst/>
              <a:latin typeface="+mn-lt"/>
              <a:ea typeface="+mn-ea"/>
              <a:cs typeface="+mn-cs"/>
            </a:rPr>
            <a:t> number of open house visitors, financial aid available, financial scholarship, comparable tuition fee, USA Economics, Num high school graduates, and the intercept b.</a:t>
          </a:r>
          <a:endParaRPr lang="en-US" sz="1100" b="0" i="0" baseline="0">
            <a:solidFill>
              <a:srgbClr val="FF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O29"/>
  <sheetViews>
    <sheetView tabSelected="1" topLeftCell="C14" workbookViewId="0">
      <selection activeCell="M32" sqref="M32"/>
    </sheetView>
  </sheetViews>
  <sheetFormatPr defaultRowHeight="14.4" x14ac:dyDescent="0.3"/>
  <cols>
    <col min="1" max="1" width="9.5546875" bestFit="1" customWidth="1"/>
    <col min="2" max="2" width="23.5546875" bestFit="1" customWidth="1"/>
    <col min="3" max="3" width="13.5546875" bestFit="1" customWidth="1"/>
    <col min="5" max="5" width="10.109375" customWidth="1"/>
    <col min="6" max="6" width="10.5546875" customWidth="1"/>
    <col min="7" max="7" width="17.44140625" customWidth="1"/>
    <col min="8" max="8" width="29" customWidth="1"/>
    <col min="9" max="9" width="17.109375" bestFit="1" customWidth="1"/>
    <col min="11" max="11" width="30.33203125" customWidth="1"/>
    <col min="14" max="14" width="28.33203125" customWidth="1"/>
    <col min="24" max="24" width="30.109375" bestFit="1" customWidth="1"/>
  </cols>
  <sheetData>
    <row r="12" spans="1:11" x14ac:dyDescent="0.3">
      <c r="A12" s="1"/>
      <c r="B12" s="1"/>
      <c r="C12" s="1"/>
      <c r="D12" s="1"/>
      <c r="E12" s="1"/>
      <c r="F12" s="1"/>
      <c r="G12" s="1"/>
      <c r="H12" s="1"/>
      <c r="I12" s="1"/>
      <c r="J12" s="1"/>
      <c r="K12" s="1"/>
    </row>
    <row r="18" spans="1:15" x14ac:dyDescent="0.3">
      <c r="A18" t="s">
        <v>0</v>
      </c>
      <c r="B18" t="s">
        <v>1</v>
      </c>
      <c r="C18" t="s">
        <v>2</v>
      </c>
      <c r="D18" t="s">
        <v>3</v>
      </c>
      <c r="E18" t="s">
        <v>4</v>
      </c>
      <c r="F18" t="s">
        <v>5</v>
      </c>
      <c r="G18" t="s">
        <v>6</v>
      </c>
      <c r="H18" t="s">
        <v>7</v>
      </c>
      <c r="I18" t="s">
        <v>8</v>
      </c>
      <c r="J18" t="s">
        <v>9</v>
      </c>
      <c r="K18" t="s">
        <v>10</v>
      </c>
    </row>
    <row r="19" spans="1:15" x14ac:dyDescent="0.3">
      <c r="A19">
        <v>2004</v>
      </c>
      <c r="B19">
        <v>25000</v>
      </c>
      <c r="C19">
        <v>3</v>
      </c>
      <c r="D19">
        <v>2</v>
      </c>
      <c r="E19">
        <v>3</v>
      </c>
      <c r="F19">
        <v>1</v>
      </c>
      <c r="G19">
        <v>1100</v>
      </c>
      <c r="H19">
        <v>13400</v>
      </c>
      <c r="I19">
        <v>20</v>
      </c>
      <c r="J19">
        <v>1000</v>
      </c>
      <c r="K19">
        <v>200</v>
      </c>
      <c r="M19">
        <v>1</v>
      </c>
      <c r="N19" t="s">
        <v>9</v>
      </c>
      <c r="O19">
        <f>INDEX(LINEST($K$19:$K$28, $B$19:$J$28, TRUE, TRUE), 1, 1)</f>
        <v>3.3161250293402882E-2</v>
      </c>
    </row>
    <row r="20" spans="1:15" x14ac:dyDescent="0.3">
      <c r="A20">
        <v>2005</v>
      </c>
      <c r="B20">
        <v>25600</v>
      </c>
      <c r="C20">
        <v>3</v>
      </c>
      <c r="D20">
        <v>2</v>
      </c>
      <c r="E20">
        <v>1</v>
      </c>
      <c r="F20">
        <v>2</v>
      </c>
      <c r="G20">
        <v>1005</v>
      </c>
      <c r="H20">
        <v>12900</v>
      </c>
      <c r="I20">
        <v>15</v>
      </c>
      <c r="J20">
        <v>980</v>
      </c>
      <c r="K20">
        <v>202</v>
      </c>
      <c r="M20">
        <v>2</v>
      </c>
      <c r="N20" t="s">
        <v>8</v>
      </c>
      <c r="O20">
        <f>INDEX(LINEST($K$19:$K$28, $B$19:$J$28, TRUE, TRUE), 1, 2)</f>
        <v>1.3949470436736482</v>
      </c>
    </row>
    <row r="21" spans="1:15" x14ac:dyDescent="0.3">
      <c r="A21">
        <v>2006</v>
      </c>
      <c r="B21">
        <v>24367</v>
      </c>
      <c r="C21">
        <v>3</v>
      </c>
      <c r="D21">
        <v>3</v>
      </c>
      <c r="E21">
        <v>2</v>
      </c>
      <c r="F21">
        <v>3</v>
      </c>
      <c r="G21">
        <v>900</v>
      </c>
      <c r="H21">
        <v>8000</v>
      </c>
      <c r="I21">
        <v>8</v>
      </c>
      <c r="J21">
        <v>950</v>
      </c>
      <c r="K21">
        <v>188</v>
      </c>
      <c r="M21">
        <v>3</v>
      </c>
      <c r="N21" t="s">
        <v>7</v>
      </c>
      <c r="O21">
        <f>INDEX(LINEST($K$19:$K$28, $B$19:$J$28, TRUE, TRUE), 1, 3)</f>
        <v>-3.5200578571288493E-3</v>
      </c>
    </row>
    <row r="22" spans="1:15" x14ac:dyDescent="0.3">
      <c r="A22">
        <v>2007</v>
      </c>
      <c r="B22">
        <v>25500</v>
      </c>
      <c r="C22">
        <v>3</v>
      </c>
      <c r="D22">
        <v>2</v>
      </c>
      <c r="E22">
        <v>2</v>
      </c>
      <c r="F22">
        <v>3</v>
      </c>
      <c r="G22">
        <v>980</v>
      </c>
      <c r="H22">
        <v>8000</v>
      </c>
      <c r="I22">
        <v>11</v>
      </c>
      <c r="J22">
        <v>1020</v>
      </c>
      <c r="K22">
        <v>209</v>
      </c>
      <c r="M22">
        <v>4</v>
      </c>
      <c r="N22" t="s">
        <v>6</v>
      </c>
      <c r="O22">
        <f>INDEX(LINEST($K$19:$K$28, $B$19:$J$28, TRUE, TRUE), 1, 4)</f>
        <v>2.8911713838573206E-2</v>
      </c>
    </row>
    <row r="23" spans="1:15" x14ac:dyDescent="0.3">
      <c r="A23">
        <v>2008</v>
      </c>
      <c r="B23">
        <v>28321</v>
      </c>
      <c r="C23">
        <v>2</v>
      </c>
      <c r="D23">
        <v>3</v>
      </c>
      <c r="E23">
        <v>3</v>
      </c>
      <c r="F23">
        <v>1</v>
      </c>
      <c r="G23">
        <v>1212</v>
      </c>
      <c r="H23">
        <v>7500</v>
      </c>
      <c r="I23">
        <v>18</v>
      </c>
      <c r="J23">
        <v>1000</v>
      </c>
      <c r="K23">
        <v>232</v>
      </c>
      <c r="M23">
        <v>5</v>
      </c>
      <c r="N23" t="s">
        <v>5</v>
      </c>
      <c r="O23">
        <f>INDEX(LINEST($K$19:$K$28, $B$19:$J$28, TRUE, TRUE), 1, 5)</f>
        <v>-1.0429358975602736</v>
      </c>
    </row>
    <row r="24" spans="1:15" x14ac:dyDescent="0.3">
      <c r="A24">
        <v>2009</v>
      </c>
      <c r="B24">
        <v>28759</v>
      </c>
      <c r="C24">
        <v>1</v>
      </c>
      <c r="D24">
        <v>1</v>
      </c>
      <c r="E24">
        <v>3</v>
      </c>
      <c r="F24">
        <v>3</v>
      </c>
      <c r="G24">
        <v>1220</v>
      </c>
      <c r="H24">
        <v>10000</v>
      </c>
      <c r="I24">
        <v>19</v>
      </c>
      <c r="J24">
        <v>1010</v>
      </c>
      <c r="K24">
        <v>220</v>
      </c>
      <c r="M24">
        <v>6</v>
      </c>
      <c r="N24" t="s">
        <v>4</v>
      </c>
      <c r="O24">
        <f>INDEX(LINEST($K$19:$K$28, $B$19:$J$28, TRUE, TRUE), 1, 6)</f>
        <v>-3.4269548881982765</v>
      </c>
    </row>
    <row r="25" spans="1:15" x14ac:dyDescent="0.3">
      <c r="A25">
        <v>2010</v>
      </c>
      <c r="B25">
        <v>25431</v>
      </c>
      <c r="C25">
        <v>1</v>
      </c>
      <c r="D25">
        <v>1</v>
      </c>
      <c r="E25">
        <v>1</v>
      </c>
      <c r="F25">
        <v>1</v>
      </c>
      <c r="G25">
        <v>987</v>
      </c>
      <c r="H25">
        <v>8000</v>
      </c>
      <c r="I25">
        <v>10</v>
      </c>
      <c r="J25">
        <v>950</v>
      </c>
      <c r="K25">
        <v>188</v>
      </c>
      <c r="M25">
        <v>7</v>
      </c>
      <c r="N25" t="s">
        <v>3</v>
      </c>
      <c r="O25">
        <f>INDEX(LINEST($K$19:$K$28, $B$19:$J$28, TRUE, TRUE), 1, 7)</f>
        <v>-3.0913091208724119</v>
      </c>
    </row>
    <row r="26" spans="1:15" x14ac:dyDescent="0.3">
      <c r="A26">
        <v>2011</v>
      </c>
      <c r="B26">
        <v>24678</v>
      </c>
      <c r="C26">
        <v>1</v>
      </c>
      <c r="D26">
        <v>1</v>
      </c>
      <c r="E26">
        <v>1</v>
      </c>
      <c r="F26">
        <v>2</v>
      </c>
      <c r="G26">
        <v>899</v>
      </c>
      <c r="H26">
        <v>7500</v>
      </c>
      <c r="I26">
        <v>8</v>
      </c>
      <c r="J26">
        <v>1000</v>
      </c>
      <c r="K26">
        <v>179</v>
      </c>
      <c r="M26">
        <v>8</v>
      </c>
      <c r="N26" t="s">
        <v>2</v>
      </c>
      <c r="O26">
        <f>INDEX(LINEST($K$19:$K$28, $B$19:$J$28, TRUE, TRUE), 1, 8)</f>
        <v>12.768361330113445</v>
      </c>
    </row>
    <row r="27" spans="1:15" x14ac:dyDescent="0.3">
      <c r="A27">
        <v>2012</v>
      </c>
      <c r="B27">
        <v>24987</v>
      </c>
      <c r="C27">
        <v>2</v>
      </c>
      <c r="D27">
        <v>2</v>
      </c>
      <c r="E27">
        <v>2</v>
      </c>
      <c r="F27">
        <v>3</v>
      </c>
      <c r="G27">
        <v>1488</v>
      </c>
      <c r="H27">
        <v>11000</v>
      </c>
      <c r="I27">
        <v>7</v>
      </c>
      <c r="J27">
        <v>1000</v>
      </c>
      <c r="K27">
        <v>190</v>
      </c>
      <c r="M27">
        <v>9</v>
      </c>
      <c r="N27" t="s">
        <v>1</v>
      </c>
      <c r="O27">
        <f>INDEX(LINEST($K$19:$K$28, $B$19:$J$28, TRUE, TRUE), 1, 9)</f>
        <v>8.022617052500073E-3</v>
      </c>
    </row>
    <row r="28" spans="1:15" x14ac:dyDescent="0.3">
      <c r="A28">
        <v>2013</v>
      </c>
      <c r="B28">
        <v>25100</v>
      </c>
      <c r="C28">
        <v>2</v>
      </c>
      <c r="D28">
        <v>3</v>
      </c>
      <c r="E28">
        <v>2</v>
      </c>
      <c r="F28">
        <v>3</v>
      </c>
      <c r="G28">
        <v>900</v>
      </c>
      <c r="H28">
        <v>11000</v>
      </c>
      <c r="I28">
        <v>10</v>
      </c>
      <c r="J28">
        <v>1000</v>
      </c>
      <c r="K28">
        <v>175</v>
      </c>
      <c r="M28">
        <v>10</v>
      </c>
      <c r="N28" t="s">
        <v>12</v>
      </c>
      <c r="O28">
        <f>INDEX(LINEST($K$19:$K$28, $B$19:$J$28, TRUE, TRUE), 1, 10)</f>
        <v>-67.058392602722009</v>
      </c>
    </row>
    <row r="29" spans="1:15" x14ac:dyDescent="0.3">
      <c r="A29" s="1" t="s">
        <v>11</v>
      </c>
      <c r="B29" s="1">
        <v>25500</v>
      </c>
      <c r="C29" s="1">
        <v>3</v>
      </c>
      <c r="D29" s="1">
        <v>3</v>
      </c>
      <c r="E29" s="1">
        <v>2</v>
      </c>
      <c r="F29" s="1">
        <v>2</v>
      </c>
      <c r="G29" s="1">
        <v>1130</v>
      </c>
      <c r="H29" s="1">
        <v>9000</v>
      </c>
      <c r="I29" s="1">
        <v>20</v>
      </c>
      <c r="J29" s="1">
        <v>1000</v>
      </c>
      <c r="K29" s="2" cm="1">
        <f t="array" ref="K29">ROUND(TREND(K19:K28, B19:J28, B29:J29),2)</f>
        <v>219.66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Chapter2_Assignment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2025-11-23T14:02:32Z</dcterms:modified>
</cp:coreProperties>
</file>